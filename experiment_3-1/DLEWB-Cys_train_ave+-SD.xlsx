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B5E15D2A-1118-48C8-8AC1-70AF3C21E139}" xr6:coauthVersionLast="47" xr6:coauthVersionMax="47" xr10:uidLastSave="{00000000-0000-0000-0000-000000000000}"/>
  <bookViews>
    <workbookView xWindow="732" yWindow="732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<sst xmlns="http://schemas.openxmlformats.org/spreadsheetml/2006/main" count="20" uniqueCount="11">
  <si>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</si>
  <si>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</si>
  <si>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</si>
  <si>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</si>
  <si>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</si>
  <si>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</si>
  <si>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</si>
  <si>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DLBWE-Cys</t>
    <phoneticPr fontId="3" type="noConversion"/>
  </si>
  <si>
    <t>DLEWB-Cys AVE</t>
    <phoneticPr fontId="3" type="noConversion"/>
  </si>
  <si>
    <t>DLEWB-Cys SD</t>
    <phoneticPr fontId="3" type="noConversion"/>
  </si>
  <si>
    <t>DLEWB-Cys AVE±SD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</si>
</sst>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name val="宋体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E18" sqref="E18"/>
    </sheetView>
  </sheetViews>
  <sheetFormatPr defaultColWidth="9" defaultRowHeight="13.8"/>
  <cols>
    <col min="1" max="1" width="11.44140625" customWidth="1"/>
    <col min="2" max="2" width="13.44140625" customWidth="1"/>
    <col min="3" max="3" width="13.109375" customWidth="1"/>
    <col min="4" max="4" width="12.21875" customWidth="1"/>
    <col min="5" max="6" width="13.109375" customWidth="1"/>
    <col min="7" max="7" width="13.21875" customWidth="1"/>
  </cols>
  <sheetData>
    <row r="1" spans="1: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>
      <c r="A2" s="1" t="s">
        <v>7</v>
      </c>
      <c r="B2" s="1">
        <v>75.83</v>
      </c>
      <c r="C2" s="1">
        <v>68.81</v>
      </c>
      <c r="D2" s="1">
        <v>82.84</v>
      </c>
      <c r="E2" s="1">
        <v>0.52170000000000005</v>
      </c>
      <c r="F2" s="1">
        <v>0.79759999999999998</v>
      </c>
      <c r="G2" s="1">
        <v>0.81859999999999999</v>
      </c>
    </row>
    <row r="3" spans="1:7" s="1" customFormat="1">
      <c r="A3" s="1" t="s">
        <v>7</v>
      </c>
      <c r="B3" s="1">
        <v>76.239999999999995</v>
      </c>
      <c r="C3" s="1">
        <v>72.28</v>
      </c>
      <c r="D3" s="1">
        <v>80.2</v>
      </c>
      <c r="E3" s="1">
        <v>0.52639999999999998</v>
      </c>
      <c r="F3" s="1">
        <v>0.80600000000000005</v>
      </c>
      <c r="G3" s="1">
        <v>0.80449999999999999</v>
      </c>
    </row>
    <row r="4" spans="1:7" s="1" customFormat="1">
      <c r="A4" s="1" t="s">
        <v>7</v>
      </c>
      <c r="B4" s="1">
        <v>75.5</v>
      </c>
      <c r="C4" s="1">
        <v>70.63</v>
      </c>
      <c r="D4" s="1">
        <v>80.36</v>
      </c>
      <c r="E4" s="1">
        <v>0.51229999999999998</v>
      </c>
      <c r="F4" s="1">
        <v>0.80259999999999998</v>
      </c>
      <c r="G4" s="1">
        <v>0.81910000000000005</v>
      </c>
    </row>
    <row r="5" spans="1:7" s="1" customFormat="1">
      <c r="A5" s="1" t="s">
        <v>7</v>
      </c>
      <c r="B5" s="1">
        <v>76.239999999999995</v>
      </c>
      <c r="C5" s="1">
        <v>72.61</v>
      </c>
      <c r="D5" s="1">
        <v>79.87</v>
      </c>
      <c r="E5" s="1">
        <v>0.52610000000000001</v>
      </c>
      <c r="F5" s="1">
        <v>0.80979999999999996</v>
      </c>
      <c r="G5" s="1">
        <v>0.8196</v>
      </c>
    </row>
    <row r="6" spans="1:7" s="1" customFormat="1">
      <c r="A6" s="1" t="s">
        <v>7</v>
      </c>
      <c r="B6" s="1">
        <v>75.91</v>
      </c>
      <c r="C6" s="1">
        <v>70.790000000000006</v>
      </c>
      <c r="D6" s="1">
        <v>81.02</v>
      </c>
      <c r="E6" s="1">
        <v>0.52090000000000003</v>
      </c>
      <c r="F6" s="1">
        <v>0.80530000000000002</v>
      </c>
      <c r="G6" s="1">
        <v>0.81359999999999999</v>
      </c>
    </row>
    <row r="7" spans="1:7" s="1" customFormat="1">
      <c r="A7" s="1" t="s">
        <v>7</v>
      </c>
      <c r="B7" s="1">
        <v>75.739999999999995</v>
      </c>
      <c r="C7" s="1">
        <v>68.81</v>
      </c>
      <c r="D7" s="1">
        <v>82.67</v>
      </c>
      <c r="E7" s="1">
        <v>0.51990000000000003</v>
      </c>
      <c r="F7" s="1">
        <v>0.80349999999999999</v>
      </c>
      <c r="G7" s="1">
        <v>0.81599999999999995</v>
      </c>
    </row>
    <row r="8" spans="1:7" s="1" customFormat="1">
      <c r="A8" s="1" t="s">
        <v>7</v>
      </c>
      <c r="B8" s="1">
        <v>75.83</v>
      </c>
      <c r="C8" s="1">
        <v>68.319999999999993</v>
      </c>
      <c r="D8" s="1">
        <v>83.33</v>
      </c>
      <c r="E8" s="1">
        <v>0.52239999999999998</v>
      </c>
      <c r="F8" s="1">
        <v>0.80159999999999998</v>
      </c>
      <c r="G8" s="1">
        <v>0.81569999999999998</v>
      </c>
    </row>
    <row r="9" spans="1:7" s="1" customFormat="1">
      <c r="A9" s="1" t="s">
        <v>7</v>
      </c>
      <c r="B9" s="1">
        <v>75.989999999999995</v>
      </c>
      <c r="C9" s="1">
        <v>73.099999999999994</v>
      </c>
      <c r="D9" s="1">
        <v>78.88</v>
      </c>
      <c r="E9" s="1">
        <v>0.52070000000000005</v>
      </c>
      <c r="F9" s="1">
        <v>0.8085</v>
      </c>
      <c r="G9" s="1">
        <v>0.81530000000000002</v>
      </c>
    </row>
    <row r="10" spans="1:7" s="1" customFormat="1">
      <c r="A10" s="1" t="s">
        <v>7</v>
      </c>
      <c r="B10" s="1">
        <v>76.16</v>
      </c>
      <c r="C10" s="1">
        <v>74.260000000000005</v>
      </c>
      <c r="D10" s="1">
        <v>78.05</v>
      </c>
      <c r="E10" s="1">
        <v>0.52349999999999997</v>
      </c>
      <c r="F10" s="1">
        <v>0.80320000000000003</v>
      </c>
      <c r="G10" s="1">
        <v>0.80900000000000005</v>
      </c>
    </row>
    <row r="11" spans="1:7" s="1" customFormat="1">
      <c r="A11" s="1" t="s">
        <v>7</v>
      </c>
      <c r="B11" s="1">
        <v>76.239999999999995</v>
      </c>
      <c r="C11" s="1">
        <v>73.599999999999994</v>
      </c>
      <c r="D11" s="1">
        <v>78.88</v>
      </c>
      <c r="E11" s="1">
        <v>0.52549999999999997</v>
      </c>
      <c r="F11" s="1">
        <v>0.79790000000000005</v>
      </c>
      <c r="G11" s="1">
        <v>0.80459999999999998</v>
      </c>
    </row>
    <row r="12" spans="1:7" s="1" customFormat="1">
      <c r="A12" s="1" t="s">
        <v>8</v>
      </c>
      <c r="B12" s="1">
        <f>AVERAGE(B2:B11)</f>
        <v>75.968000000000004</v>
      </c>
      <c r="C12" s="1">
        <f t="shared" ref="C12:G12" si="0">AVERAGE(C2:C11)</f>
        <v>71.320999999999998</v>
      </c>
      <c r="D12" s="1">
        <f t="shared" si="0"/>
        <v>80.61</v>
      </c>
      <c r="E12" s="1">
        <f t="shared" si="0"/>
        <v>0.52193999999999996</v>
      </c>
      <c r="F12" s="1">
        <f t="shared" si="0"/>
        <v>0.80359999999999998</v>
      </c>
      <c r="G12" s="1">
        <f t="shared" si="0"/>
        <v>0.81359999999999999</v>
      </c>
    </row>
    <row r="13" spans="1:7" s="1" customFormat="1">
      <c r="A13" s="1" t="s">
        <v>9</v>
      </c>
      <c r="B13" s="1">
        <f>STDEV(B2:B11)</f>
        <v>0.25204937787839898</v>
      </c>
      <c r="C13" s="1">
        <f t="shared" ref="C13:G13" si="1">STDEV(C2:C11)</f>
        <v>2.1590453137131398</v>
      </c>
      <c r="D13" s="1">
        <f t="shared" si="1"/>
        <v>1.82880045688728</v>
      </c>
      <c r="E13" s="1">
        <f t="shared" si="1"/>
        <v>4.1134467839567803E-3</v>
      </c>
      <c r="F13" s="1">
        <f t="shared" si="1"/>
        <v>4.0105416647186701E-3</v>
      </c>
      <c r="G13" s="1">
        <f t="shared" si="1"/>
        <v>5.6694111001251504E-3</v>
      </c>
    </row>
    <row r="14" spans="1:7" s="1" customFormat="1">
      <c r="A14" s="1" t="s">
        <v>10</v>
      </c>
      <c r="B14" s="1" t="str">
        <f>ROUND(B12,2)&amp;"±"&amp;ROUND(B13,2)</f>
        <v>75.97±0.25</v>
      </c>
      <c r="C14" s="1" t="str">
        <f t="shared" ref="C14:D14" si="2">ROUND(C12,2)&amp;"±"&amp;ROUND(C13,2)</f>
        <v>71.32±2.16</v>
      </c>
      <c r="D14" s="1" t="str">
        <f t="shared" si="2"/>
        <v>80.61±1.83</v>
      </c>
      <c r="E14" s="1" t="str">
        <f>ROUND(E12,4)&amp;"±"&amp;ROUND(E13,4)</f>
        <v>0.5219±0.0041</v>
      </c>
      <c r="F14" s="1" t="str">
        <f t="shared" ref="F14:G14" si="3">ROUND(F12,4)&amp;"±"&amp;ROUND(F13,4)</f>
        <v>0.8036±0.004</v>
      </c>
      <c r="G14" s="1" t="str">
        <f t="shared" si="3"/>
        <v>0.8136±0.0057</v>
      </c>
    </row>
    <row r="15" spans="1:7" s="1" customFormat="1"/>
    <row r="16" spans="1:7" s="1" customFormat="1"/>
    <row r="17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AF65363EE82F4ECC8F408672D4C4479F_12</vt:lpwstr>
  </property>
  <property fmtid="{D5CDD505-2E9C-101B-9397-08002B2CF9AE}" pid="3" name="KSOProductBuildVer">
    <vt:lpwstr>2052-12.1.0.16729</vt:lpwstr>
  </property>
</Properties>
</file>