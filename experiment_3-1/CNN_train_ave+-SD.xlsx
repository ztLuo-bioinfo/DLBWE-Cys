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Pycharm\PyCharm Community Edition 2020.1.4\holle world\new_protein\protein_pos\DLBWE-Cys\experiment\3-1\"/>
    </mc:Choice>
  </mc:AlternateContent>
  <xr:revisionPtr revIDLastSave="0" documentId="13_ncr:1_{89503078-4544-4A8F-B122-4C9FA6A637A0}" xr6:coauthVersionLast="47" xr6:coauthVersionMax="47" xr10:uidLastSave="{00000000-0000-0000-0000-000000000000}"/>
  <bookViews>
    <workbookView xWindow="13380" yWindow="1404" windowWidth="9540" windowHeight="10188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<sst xmlns="http://schemas.openxmlformats.org/spreadsheetml/2006/main" count="20" uniqueCount="11">
  <si>
    <t>model_name</t>
  </si>
  <si>
    <t>Acc(%)</t>
  </si>
  <si>
    <t>Sn(%)</t>
  </si>
  <si>
    <t>Sp(%)</t>
  </si>
  <si>
    <t>MCC</t>
  </si>
  <si>
    <t>AUROC</t>
  </si>
  <si>
    <t>AUPR</t>
  </si>
  <si>
    <t>CNN AVE</t>
  </si>
  <si>
    <t>CNN SD</t>
  </si>
  <si>
    <t>CNN AVE±SD</t>
  </si>
  <si>
    <t>CNN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</si>
</sst>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b/>
      <sz val="11"/>
      <name val="宋体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A17" sqref="A17:XFD17"/>
    </sheetView>
  </sheetViews>
  <sheetFormatPr defaultColWidth="9" defaultRowHeight="13.8"/>
  <cols>
    <col min="1" max="1" width="12.21875" customWidth="1"/>
    <col min="2" max="2" width="13.88671875" customWidth="1"/>
    <col min="3" max="4" width="12.44140625" customWidth="1"/>
    <col min="5" max="5" width="12.6640625" customWidth="1"/>
    <col min="6" max="6" width="13.33203125" customWidth="1"/>
    <col min="7" max="7" width="12.77734375" customWidth="1"/>
  </cols>
  <sheetData>
    <row r="1" spans="1:7" ht="14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>
      <c r="A2" s="1" t="s">
        <v>10</v>
      </c>
      <c r="B2" s="1">
        <v>74.34</v>
      </c>
      <c r="C2" s="1">
        <v>70.3</v>
      </c>
      <c r="D2" s="1">
        <v>78.38</v>
      </c>
      <c r="E2" s="1">
        <v>0.4884</v>
      </c>
      <c r="F2" s="1">
        <v>0.79420000000000002</v>
      </c>
      <c r="G2" s="1">
        <v>0.80068093028653498</v>
      </c>
    </row>
    <row r="3" spans="1:7" s="1" customFormat="1">
      <c r="A3" s="1" t="s">
        <v>10</v>
      </c>
      <c r="B3" s="1">
        <v>74.92</v>
      </c>
      <c r="C3" s="1">
        <v>70.959999999999994</v>
      </c>
      <c r="D3" s="1">
        <v>78.88</v>
      </c>
      <c r="E3" s="1">
        <v>0.49990000000000001</v>
      </c>
      <c r="F3" s="1">
        <v>0.79549999999999998</v>
      </c>
      <c r="G3" s="1">
        <v>0.79299846124000495</v>
      </c>
    </row>
    <row r="4" spans="1:7" s="1" customFormat="1">
      <c r="A4" s="1" t="s">
        <v>10</v>
      </c>
      <c r="B4" s="1">
        <v>75.66</v>
      </c>
      <c r="C4" s="1">
        <v>72.94</v>
      </c>
      <c r="D4" s="1">
        <v>78.38</v>
      </c>
      <c r="E4" s="1">
        <v>0.51400000000000001</v>
      </c>
      <c r="F4" s="1">
        <v>0.8115</v>
      </c>
      <c r="G4" s="1">
        <v>0.82330516918895602</v>
      </c>
    </row>
    <row r="5" spans="1:7" s="1" customFormat="1">
      <c r="A5" s="1" t="s">
        <v>10</v>
      </c>
      <c r="B5" s="1">
        <v>74.59</v>
      </c>
      <c r="C5" s="1">
        <v>70.459999999999994</v>
      </c>
      <c r="D5" s="1">
        <v>78.709999999999994</v>
      </c>
      <c r="E5" s="1">
        <v>0.49340000000000001</v>
      </c>
      <c r="F5" s="1">
        <v>0.78249999999999997</v>
      </c>
      <c r="G5" s="1">
        <v>0.79386623391562405</v>
      </c>
    </row>
    <row r="6" spans="1:7" s="1" customFormat="1">
      <c r="A6" s="1" t="s">
        <v>10</v>
      </c>
      <c r="B6" s="1">
        <v>73.84</v>
      </c>
      <c r="C6" s="1">
        <v>69.47</v>
      </c>
      <c r="D6" s="1">
        <v>78.22</v>
      </c>
      <c r="E6" s="1">
        <v>0.47870000000000001</v>
      </c>
      <c r="F6" s="1">
        <v>0.78920000000000001</v>
      </c>
      <c r="G6" s="1">
        <v>0.79207691189262697</v>
      </c>
    </row>
    <row r="7" spans="1:7" s="1" customFormat="1">
      <c r="A7" s="1" t="s">
        <v>10</v>
      </c>
      <c r="B7" s="1">
        <v>74.260000000000005</v>
      </c>
      <c r="C7" s="1">
        <v>68.319999999999993</v>
      </c>
      <c r="D7" s="1">
        <v>80.2</v>
      </c>
      <c r="E7" s="1">
        <v>0.48859999999999998</v>
      </c>
      <c r="F7" s="1">
        <v>0.78420000000000001</v>
      </c>
      <c r="G7" s="1">
        <v>0.79972037579876099</v>
      </c>
    </row>
    <row r="8" spans="1:7" s="1" customFormat="1">
      <c r="A8" s="1" t="s">
        <v>10</v>
      </c>
      <c r="B8" s="1">
        <v>74.67</v>
      </c>
      <c r="C8" s="1">
        <v>73.099999999999994</v>
      </c>
      <c r="D8" s="1">
        <v>76.239999999999995</v>
      </c>
      <c r="E8" s="1">
        <v>0.49359999999999998</v>
      </c>
      <c r="F8" s="1">
        <v>0.78100000000000003</v>
      </c>
      <c r="G8" s="1">
        <v>0.77741744715426198</v>
      </c>
    </row>
    <row r="9" spans="1:7" s="1" customFormat="1">
      <c r="A9" s="1" t="s">
        <v>10</v>
      </c>
      <c r="B9" s="1">
        <v>74.67</v>
      </c>
      <c r="C9" s="1">
        <v>70.63</v>
      </c>
      <c r="D9" s="1">
        <v>78.709999999999994</v>
      </c>
      <c r="E9" s="1">
        <v>0.495</v>
      </c>
      <c r="F9" s="1">
        <v>0.79690000000000005</v>
      </c>
      <c r="G9" s="1">
        <v>0.79508257149067296</v>
      </c>
    </row>
    <row r="10" spans="1:7" s="1" customFormat="1">
      <c r="A10" s="1" t="s">
        <v>10</v>
      </c>
      <c r="B10" s="1">
        <v>74.260000000000005</v>
      </c>
      <c r="C10" s="1">
        <v>73.930000000000007</v>
      </c>
      <c r="D10" s="1">
        <v>74.59</v>
      </c>
      <c r="E10" s="1">
        <v>0.48520000000000002</v>
      </c>
      <c r="F10" s="1">
        <v>0.78510000000000002</v>
      </c>
      <c r="G10" s="1">
        <v>0.77629959776110802</v>
      </c>
    </row>
    <row r="11" spans="1:7" s="1" customFormat="1">
      <c r="A11" s="1" t="s">
        <v>10</v>
      </c>
      <c r="B11" s="1">
        <v>73.760000000000005</v>
      </c>
      <c r="C11" s="1">
        <v>71.12</v>
      </c>
      <c r="D11" s="1">
        <v>76.400000000000006</v>
      </c>
      <c r="E11" s="1">
        <v>0.47589999999999999</v>
      </c>
      <c r="F11" s="1">
        <v>0.78590000000000004</v>
      </c>
      <c r="G11" s="1">
        <v>0.784868321125201</v>
      </c>
    </row>
    <row r="12" spans="1:7" s="1" customFormat="1">
      <c r="A12" s="1" t="s">
        <v>7</v>
      </c>
      <c r="B12" s="1">
        <f>AVERAGE(B2:B11)</f>
        <v>74.497</v>
      </c>
      <c r="C12" s="1">
        <f t="shared" ref="C12:G12" si="0">AVERAGE(C2:C11)</f>
        <v>71.123000000000005</v>
      </c>
      <c r="D12" s="1">
        <f t="shared" si="0"/>
        <v>77.870999999999995</v>
      </c>
      <c r="E12" s="1">
        <f t="shared" si="0"/>
        <v>0.49126999999999998</v>
      </c>
      <c r="F12" s="1">
        <f t="shared" si="0"/>
        <v>0.79059999999999997</v>
      </c>
      <c r="G12" s="1">
        <f t="shared" si="0"/>
        <v>0.79363160198537497</v>
      </c>
    </row>
    <row r="13" spans="1:7" s="1" customFormat="1">
      <c r="A13" s="1" t="s">
        <v>8</v>
      </c>
      <c r="B13" s="1">
        <f>STDEV(B2:B11)</f>
        <v>0.54891913996709896</v>
      </c>
      <c r="C13" s="1">
        <f t="shared" ref="C13:G13" si="1">STDEV(C2:C11)</f>
        <v>1.7341347506273399</v>
      </c>
      <c r="D13" s="1">
        <f t="shared" si="1"/>
        <v>1.63568164520008</v>
      </c>
      <c r="E13" s="1">
        <f t="shared" si="1"/>
        <v>1.08600235317936E-2</v>
      </c>
      <c r="F13" s="1">
        <f t="shared" si="1"/>
        <v>9.2285787999380805E-3</v>
      </c>
      <c r="G13" s="1">
        <f t="shared" si="1"/>
        <v>1.33847232923753E-2</v>
      </c>
    </row>
    <row r="14" spans="1:7" s="1" customFormat="1">
      <c r="A14" s="1" t="s">
        <v>9</v>
      </c>
      <c r="B14" s="1" t="str">
        <f>ROUND(B12,2)&amp;"±"&amp;ROUND(B13,2)</f>
        <v>74.5±0.55</v>
      </c>
      <c r="C14" s="1" t="str">
        <f t="shared" ref="C14:D14" si="2">ROUND(C12,2)&amp;"±"&amp;ROUND(C13,2)</f>
        <v>71.12±1.73</v>
      </c>
      <c r="D14" s="1" t="str">
        <f t="shared" si="2"/>
        <v>77.87±1.64</v>
      </c>
      <c r="E14" s="1" t="str">
        <f>ROUND(E12,4)&amp;"±"&amp;ROUND(E13,4)</f>
        <v>0.4913±0.0109</v>
      </c>
      <c r="F14" s="1" t="str">
        <f t="shared" ref="F14:G14" si="3">ROUND(F12,4)&amp;"±"&amp;ROUND(F13,4)</f>
        <v>0.7906±0.0092</v>
      </c>
      <c r="G14" s="1" t="str">
        <f t="shared" si="3"/>
        <v>0.7936±0.0134</v>
      </c>
    </row>
    <row r="15" spans="1:7" s="1" customFormat="1"/>
    <row r="16" spans="1:7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 people</dc:creator>
  <cp:lastModifiedBy>天 陈</cp:lastModifiedBy>
  <dcterms:created xsi:type="dcterms:W3CDTF">2015-06-05T18:19:00Z</dcterms:created>
  <dcterms:modified xsi:type="dcterms:W3CDTF">2024-05-02T10:09:12Z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717758EAD707422BB88B38BADED75960_12</vt:lpwstr>
  </property>
  <property fmtid="{D5CDD505-2E9C-101B-9397-08002B2CF9AE}" pid="3" name="KSOProductBuildVer">
    <vt:lpwstr>2052-12.1.0.16729</vt:lpwstr>
  </property>
</Properties>
</file>