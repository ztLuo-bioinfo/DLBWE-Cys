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D:\Pycharm\PyCharm Community Edition 2020.1.4\holle world\new_protein\protein_pos\DLBWE-Cys\experiment\3-1\"/>
    </mc:Choice>
  </mc:AlternateContent>
  <xr:revisionPtr revIDLastSave="0" documentId="13_ncr:1_{152D728D-0E6E-470C-A6E2-53AD3393075A}" xr6:coauthVersionLast="47" xr6:coauthVersionMax="47" xr10:uidLastSave="{00000000-0000-0000-0000-000000000000}"/>
  <bookViews>
    <workbookView xWindow="1080" yWindow="1080" windowWidth="9540" windowHeight="10188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G14" i="1" l="1"/>
  <c r="F14" i="1"/>
  <c r="E14" i="1"/>
  <c r="D14" i="1"/>
  <c r="C14" i="1"/>
  <c r="B14" i="1"/>
  <c r="G13" i="1"/>
  <c r="F13" i="1"/>
  <c r="E13" i="1"/>
  <c r="D13" i="1"/>
  <c r="C13" i="1"/>
  <c r="B13" i="1"/>
  <c r="G12" i="1"/>
  <c r="F12" i="1"/>
  <c r="E12" i="1"/>
  <c r="D12" i="1"/>
  <c r="C12" i="1"/>
  <c r="B12" i="1"/>
</calcChain>
</file>

<file path=xl/sharedStrings.xml><?xml version="1.0" encoding="utf-8"?>
<sst xmlns="http://schemas.openxmlformats.org/spreadsheetml/2006/main" count="20" uniqueCount="11">
  <si>
    <t>model_name</t>
  </si>
  <si>
    <t>Acc(%)</t>
  </si>
  <si>
    <t>Sn(%)</t>
  </si>
  <si>
    <t>Sp(%)</t>
  </si>
  <si>
    <t>MCC</t>
  </si>
  <si>
    <t>AUROC</t>
  </si>
  <si>
    <t>AUPR</t>
  </si>
  <si>
    <t>SVM AVE</t>
  </si>
  <si>
    <t>SVM SD</t>
  </si>
  <si>
    <t>SVM AVE±SD</t>
  </si>
  <si>
    <t>SVM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</si>
</sst>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charset val="134"/>
      <scheme val="minor"/>
    </font>
    <font>
      <sz val="11"/>
      <color theme="1"/>
      <name val="Times New Roman"/>
      <family val="1"/>
    </font>
    <font>
      <b/>
      <sz val="11"/>
      <name val="宋体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A16" sqref="A16:XFD16"/>
    </sheetView>
  </sheetViews>
  <sheetFormatPr defaultColWidth="9" defaultRowHeight="13.8"/>
  <cols>
    <col min="1" max="1" width="22.21875" customWidth="1"/>
    <col min="2" max="2" width="14.6640625" customWidth="1"/>
    <col min="3" max="3" width="13.21875" customWidth="1"/>
    <col min="4" max="4" width="13" customWidth="1"/>
    <col min="5" max="5" width="13.6640625" customWidth="1"/>
    <col min="6" max="6" width="13.33203125" customWidth="1"/>
    <col min="7" max="7" width="13.5546875" customWidth="1"/>
  </cols>
  <sheetData>
    <row r="1" spans="1:7" ht="14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1" t="s">
        <v>10</v>
      </c>
      <c r="B2" s="1">
        <v>65.02</v>
      </c>
      <c r="C2" s="1">
        <v>65.510000000000005</v>
      </c>
      <c r="D2" s="1">
        <v>64.52</v>
      </c>
      <c r="E2" s="1">
        <v>0.30030000000000001</v>
      </c>
      <c r="F2" s="1">
        <v>0.72209999999999996</v>
      </c>
      <c r="G2" s="1">
        <v>0.71789999999999998</v>
      </c>
    </row>
    <row r="3" spans="1:7">
      <c r="A3" s="1" t="s">
        <v>10</v>
      </c>
      <c r="B3" s="1">
        <v>65.02</v>
      </c>
      <c r="C3" s="1">
        <v>66.17</v>
      </c>
      <c r="D3" s="1">
        <v>63.86</v>
      </c>
      <c r="E3" s="1">
        <v>0.3004</v>
      </c>
      <c r="F3" s="1">
        <v>0.72670000000000001</v>
      </c>
      <c r="G3" s="1">
        <v>0.72289999999999999</v>
      </c>
    </row>
    <row r="4" spans="1:7">
      <c r="A4" s="1" t="s">
        <v>10</v>
      </c>
      <c r="B4" s="1">
        <v>65.349999999999994</v>
      </c>
      <c r="C4" s="1">
        <v>66.5</v>
      </c>
      <c r="D4" s="1">
        <v>64.19</v>
      </c>
      <c r="E4" s="1">
        <v>0.307</v>
      </c>
      <c r="F4" s="1">
        <v>0.73080000000000001</v>
      </c>
      <c r="G4" s="1">
        <v>0.72640000000000005</v>
      </c>
    </row>
    <row r="5" spans="1:7">
      <c r="A5" s="1" t="s">
        <v>10</v>
      </c>
      <c r="B5" s="1">
        <v>65.92</v>
      </c>
      <c r="C5" s="1">
        <v>67.819999999999993</v>
      </c>
      <c r="D5" s="1">
        <v>64.03</v>
      </c>
      <c r="E5" s="1">
        <v>0.31869999999999998</v>
      </c>
      <c r="F5" s="1">
        <v>0.73399999999999999</v>
      </c>
      <c r="G5" s="1">
        <v>0.72899999999999998</v>
      </c>
    </row>
    <row r="6" spans="1:7">
      <c r="A6" s="1" t="s">
        <v>10</v>
      </c>
      <c r="B6" s="1">
        <v>65.84</v>
      </c>
      <c r="C6" s="1">
        <v>67.16</v>
      </c>
      <c r="D6" s="1">
        <v>64.52</v>
      </c>
      <c r="E6" s="1">
        <v>0.31690000000000002</v>
      </c>
      <c r="F6" s="1">
        <v>0.72309999999999997</v>
      </c>
      <c r="G6" s="1">
        <v>0.71930000000000005</v>
      </c>
    </row>
    <row r="7" spans="1:7">
      <c r="A7" s="1" t="s">
        <v>10</v>
      </c>
      <c r="B7" s="1">
        <v>65.510000000000005</v>
      </c>
      <c r="C7" s="1">
        <v>67.489999999999995</v>
      </c>
      <c r="D7" s="1">
        <v>63.53</v>
      </c>
      <c r="E7" s="1">
        <v>0.3105</v>
      </c>
      <c r="F7" s="1">
        <v>0.72770000000000001</v>
      </c>
      <c r="G7" s="1">
        <v>0.7238</v>
      </c>
    </row>
    <row r="8" spans="1:7">
      <c r="A8" s="1" t="s">
        <v>10</v>
      </c>
      <c r="B8" s="1">
        <v>65.760000000000005</v>
      </c>
      <c r="C8" s="1">
        <v>67.819999999999993</v>
      </c>
      <c r="D8" s="1">
        <v>63.7</v>
      </c>
      <c r="E8" s="1">
        <v>0.3155</v>
      </c>
      <c r="F8" s="1">
        <v>0.73160000000000003</v>
      </c>
      <c r="G8" s="1">
        <v>0.72760000000000002</v>
      </c>
    </row>
    <row r="9" spans="1:7">
      <c r="A9" s="1" t="s">
        <v>10</v>
      </c>
      <c r="B9" s="1">
        <v>66.5</v>
      </c>
      <c r="C9" s="1">
        <v>68.48</v>
      </c>
      <c r="D9" s="1">
        <v>64.52</v>
      </c>
      <c r="E9" s="1">
        <v>0.33029999999999998</v>
      </c>
      <c r="F9" s="1">
        <v>0.73450000000000004</v>
      </c>
      <c r="G9" s="1">
        <v>0.7298</v>
      </c>
    </row>
    <row r="10" spans="1:7">
      <c r="A10" s="1" t="s">
        <v>10</v>
      </c>
      <c r="B10" s="1">
        <v>66.91</v>
      </c>
      <c r="C10" s="1">
        <v>68.319999999999993</v>
      </c>
      <c r="D10" s="1">
        <v>65.510000000000005</v>
      </c>
      <c r="E10" s="1">
        <v>0.33839999999999998</v>
      </c>
      <c r="F10" s="1">
        <v>0.73729999999999996</v>
      </c>
      <c r="G10" s="1">
        <v>0.7319</v>
      </c>
    </row>
    <row r="11" spans="1:7">
      <c r="A11" s="1" t="s">
        <v>10</v>
      </c>
      <c r="B11" s="1">
        <v>65.59</v>
      </c>
      <c r="C11" s="1">
        <v>67.16</v>
      </c>
      <c r="D11" s="1">
        <v>64.03</v>
      </c>
      <c r="E11" s="1">
        <v>0.312</v>
      </c>
      <c r="F11" s="1">
        <v>0.72350000000000003</v>
      </c>
      <c r="G11" s="1">
        <v>0.72009999999999996</v>
      </c>
    </row>
    <row r="12" spans="1:7">
      <c r="A12" s="1" t="s">
        <v>7</v>
      </c>
      <c r="B12" s="1">
        <f>AVERAGE(B2:B11)</f>
        <v>65.742000000000004</v>
      </c>
      <c r="C12" s="1">
        <f t="shared" ref="C12:G12" si="0">AVERAGE(C2:C11)</f>
        <v>67.242999999999995</v>
      </c>
      <c r="D12" s="1">
        <f t="shared" si="0"/>
        <v>64.241</v>
      </c>
      <c r="E12" s="1">
        <f t="shared" si="0"/>
        <v>0.315</v>
      </c>
      <c r="F12" s="1">
        <f t="shared" si="0"/>
        <v>0.72912999999999994</v>
      </c>
      <c r="G12" s="1">
        <f t="shared" si="0"/>
        <v>0.72487000000000001</v>
      </c>
    </row>
    <row r="13" spans="1:7">
      <c r="A13" s="1" t="s">
        <v>8</v>
      </c>
      <c r="B13" s="1">
        <f>STDEV(B2:B11)</f>
        <v>0.60125424461426202</v>
      </c>
      <c r="C13" s="1">
        <f t="shared" ref="C13:G13" si="1">STDEV(C2:C11)</f>
        <v>0.95087153005369895</v>
      </c>
      <c r="D13" s="1">
        <f t="shared" si="1"/>
        <v>0.56557640214799199</v>
      </c>
      <c r="E13" s="1">
        <f t="shared" si="1"/>
        <v>1.2118397400463299E-2</v>
      </c>
      <c r="F13" s="1">
        <f t="shared" si="1"/>
        <v>5.3084942414126403E-3</v>
      </c>
      <c r="G13" s="1">
        <f t="shared" si="1"/>
        <v>4.8069509855809597E-3</v>
      </c>
    </row>
    <row r="14" spans="1:7">
      <c r="A14" s="1" t="s">
        <v>9</v>
      </c>
      <c r="B14" s="1" t="str">
        <f>ROUND(B12,2)&amp;"±"&amp;ROUND(B13,2)</f>
        <v>65.74±0.6</v>
      </c>
      <c r="C14" s="1" t="str">
        <f t="shared" ref="C14:D14" si="2">ROUND(C12,2)&amp;"±"&amp;ROUND(C13,2)</f>
        <v>67.24±0.95</v>
      </c>
      <c r="D14" s="1" t="str">
        <f t="shared" si="2"/>
        <v>64.24±0.57</v>
      </c>
      <c r="E14" s="1" t="str">
        <f>ROUND(E12,4)&amp;"±"&amp;ROUND(E13,4)</f>
        <v>0.315±0.0121</v>
      </c>
      <c r="F14" s="1" t="str">
        <f t="shared" ref="F14:G14" si="3">ROUND(F12,4)&amp;"±"&amp;ROUND(F13,4)</f>
        <v>0.7291±0.0053</v>
      </c>
      <c r="G14" s="1" t="str">
        <f t="shared" si="3"/>
        <v>0.7249±0.0048</v>
      </c>
    </row>
    <row r="16" spans="1:7">
      <c r="A16" s="1"/>
      <c r="B16" s="1"/>
      <c r="C16" s="1"/>
      <c r="D16" s="1"/>
      <c r="E16" s="1"/>
      <c r="F16" s="1"/>
      <c r="G16" s="1"/>
    </row>
    <row r="17" spans="1:7" s="1" customFormat="1"/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  <row r="23" spans="1:7">
      <c r="A23" s="1"/>
      <c r="B23" s="1"/>
      <c r="C23" s="1"/>
      <c r="D23" s="1"/>
      <c r="E23" s="1"/>
      <c r="F23" s="1"/>
      <c r="G23" s="1"/>
    </row>
    <row r="24" spans="1:7">
      <c r="A24" s="1"/>
      <c r="B24" s="1"/>
      <c r="C24" s="1"/>
      <c r="D24" s="1"/>
      <c r="E24" s="1"/>
      <c r="F24" s="1"/>
      <c r="G24" s="1"/>
    </row>
    <row r="25" spans="1:7">
      <c r="A25" s="1"/>
      <c r="B25" s="1"/>
      <c r="C25" s="1"/>
      <c r="D25" s="1"/>
      <c r="E25" s="1"/>
      <c r="F25" s="1"/>
      <c r="G25" s="1"/>
    </row>
    <row r="26" spans="1:7">
      <c r="A26" s="1"/>
      <c r="B26" s="1"/>
      <c r="C26" s="1"/>
      <c r="D26" s="1"/>
      <c r="E26" s="1"/>
      <c r="F26" s="1"/>
      <c r="G26" s="1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  <row r="29" spans="1:7">
      <c r="A29" s="1"/>
      <c r="B29" s="1"/>
      <c r="C29" s="1"/>
      <c r="D29" s="1"/>
      <c r="E29" s="1"/>
      <c r="F29" s="1"/>
      <c r="G29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python people</dc:creator>
  <cp:lastModifiedBy>天 陈</cp:lastModifiedBy>
  <dcterms:created xsi:type="dcterms:W3CDTF">2015-06-05T18:19:00Z</dcterms:created>
  <dcterms:modified xsi:type="dcterms:W3CDTF">2024-05-02T10:10:27Z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222C0703F8044485B45D39712B9E81D2_12</vt:lpwstr>
  </property>
  <property fmtid="{D5CDD505-2E9C-101B-9397-08002B2CF9AE}" pid="3" name="KSOProductBuildVer">
    <vt:lpwstr>2052-12.1.0.16729</vt:lpwstr>
  </property>
</Properties>
</file>