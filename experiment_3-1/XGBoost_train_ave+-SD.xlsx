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1\"/>
    </mc:Choice>
  </mc:AlternateContent>
  <xr:revisionPtr revIDLastSave="0" documentId="13_ncr:1_{1DB09A3D-089D-4554-A83E-EDAE00083E82}" xr6:coauthVersionLast="47" xr6:coauthVersionMax="47" xr10:uidLastSave="{00000000-0000-0000-0000-000000000000}"/>
  <bookViews>
    <workbookView xWindow="1776" yWindow="1776" windowWidth="9540" windowHeight="1018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<sst xmlns="http://schemas.openxmlformats.org/spreadsheetml/2006/main" count="20" uniqueCount="11">
  <si>
    <t>model_name</t>
  </si>
  <si>
    <t>Acc(%)</t>
  </si>
  <si>
    <t>Sn(%)</t>
  </si>
  <si>
    <t>Sp(%)</t>
  </si>
  <si>
    <t>MCC</t>
  </si>
  <si>
    <t>AUROC</t>
  </si>
  <si>
    <t>AUPR</t>
  </si>
  <si>
    <t>XGBoost AVE</t>
  </si>
  <si>
    <t>XGBoost SD</t>
  </si>
  <si>
    <t>XGBoost AVE±SD</t>
  </si>
  <si>
    <t>XGBoost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</si>
</sst>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11"/>
      <name val="宋体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85" zoomScaleNormal="85" workbookViewId="0">
      <selection activeCell="E22" sqref="E22"/>
    </sheetView>
  </sheetViews>
  <sheetFormatPr defaultColWidth="9" defaultRowHeight="13.8"/>
  <cols>
    <col min="1" max="1" width="22.44140625" customWidth="1"/>
    <col min="2" max="2" width="13.6640625" customWidth="1"/>
    <col min="3" max="3" width="12.88671875" customWidth="1"/>
    <col min="4" max="4" width="13.21875" customWidth="1"/>
    <col min="5" max="5" width="13.33203125" customWidth="1"/>
    <col min="6" max="6" width="15.109375" customWidth="1"/>
    <col min="7" max="7" width="14" customWidth="1"/>
  </cols>
  <sheetData>
    <row r="1" spans="1:7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>
      <c r="A2" s="1" t="s">
        <v>10</v>
      </c>
      <c r="B2" s="1">
        <v>65.84</v>
      </c>
      <c r="C2" s="1">
        <v>67.989999999999995</v>
      </c>
      <c r="D2" s="1">
        <v>63.7</v>
      </c>
      <c r="E2" s="1">
        <v>0.31709999999999999</v>
      </c>
      <c r="F2" s="1">
        <v>0.70809999999999995</v>
      </c>
      <c r="G2" s="1">
        <v>0.68089999999999995</v>
      </c>
    </row>
    <row r="3" spans="1:7" s="1" customFormat="1">
      <c r="A3" s="1" t="s">
        <v>10</v>
      </c>
      <c r="B3" s="1">
        <v>65.84</v>
      </c>
      <c r="C3" s="1">
        <v>67.66</v>
      </c>
      <c r="D3" s="1">
        <v>64.03</v>
      </c>
      <c r="E3" s="1">
        <v>0.317</v>
      </c>
      <c r="F3" s="1">
        <v>0.71199999999999997</v>
      </c>
      <c r="G3" s="1">
        <v>0.69120000000000004</v>
      </c>
    </row>
    <row r="4" spans="1:7" s="1" customFormat="1">
      <c r="A4" s="1" t="s">
        <v>10</v>
      </c>
      <c r="B4" s="1">
        <v>66.42</v>
      </c>
      <c r="C4" s="1">
        <v>67.819999999999993</v>
      </c>
      <c r="D4" s="1">
        <v>65.02</v>
      </c>
      <c r="E4" s="1">
        <v>0.32850000000000001</v>
      </c>
      <c r="F4" s="1">
        <v>0.71840000000000004</v>
      </c>
      <c r="G4" s="1">
        <v>0.6956</v>
      </c>
    </row>
    <row r="5" spans="1:7" s="1" customFormat="1">
      <c r="A5" s="1" t="s">
        <v>10</v>
      </c>
      <c r="B5" s="1">
        <v>63.7</v>
      </c>
      <c r="C5" s="1">
        <v>64.69</v>
      </c>
      <c r="D5" s="1">
        <v>62.71</v>
      </c>
      <c r="E5" s="1">
        <v>0.27400000000000002</v>
      </c>
      <c r="F5" s="1">
        <v>0.69169999999999998</v>
      </c>
      <c r="G5" s="1">
        <v>0.66890000000000005</v>
      </c>
    </row>
    <row r="6" spans="1:7" s="1" customFormat="1">
      <c r="A6" s="1" t="s">
        <v>10</v>
      </c>
      <c r="B6" s="1">
        <v>65.59</v>
      </c>
      <c r="C6" s="1">
        <v>68.81</v>
      </c>
      <c r="D6" s="1">
        <v>62.38</v>
      </c>
      <c r="E6" s="1">
        <v>0.3125</v>
      </c>
      <c r="F6" s="1">
        <v>0.7117</v>
      </c>
      <c r="G6" s="1">
        <v>0.69279999999999997</v>
      </c>
    </row>
    <row r="7" spans="1:7" s="1" customFormat="1">
      <c r="A7" s="1" t="s">
        <v>10</v>
      </c>
      <c r="B7" s="1">
        <v>65.430000000000007</v>
      </c>
      <c r="C7" s="1">
        <v>65.84</v>
      </c>
      <c r="D7" s="1">
        <v>65.02</v>
      </c>
      <c r="E7" s="1">
        <v>0.30859999999999999</v>
      </c>
      <c r="F7" s="1">
        <v>0.70489999999999997</v>
      </c>
      <c r="G7" s="1">
        <v>0.68259999999999998</v>
      </c>
    </row>
    <row r="8" spans="1:7" s="1" customFormat="1">
      <c r="A8" s="1" t="s">
        <v>10</v>
      </c>
      <c r="B8" s="1">
        <v>64.36</v>
      </c>
      <c r="C8" s="1">
        <v>67.16</v>
      </c>
      <c r="D8" s="1">
        <v>61.55</v>
      </c>
      <c r="E8" s="1">
        <v>0.28760000000000002</v>
      </c>
      <c r="F8" s="1">
        <v>0.6925</v>
      </c>
      <c r="G8" s="1">
        <v>0.67520000000000002</v>
      </c>
    </row>
    <row r="9" spans="1:7" s="1" customFormat="1">
      <c r="A9" s="1" t="s">
        <v>10</v>
      </c>
      <c r="B9" s="1">
        <v>64.930000000000007</v>
      </c>
      <c r="C9" s="1">
        <v>66.010000000000005</v>
      </c>
      <c r="D9" s="1">
        <v>63.86</v>
      </c>
      <c r="E9" s="1">
        <v>0.29870000000000002</v>
      </c>
      <c r="F9" s="1">
        <v>0.7137</v>
      </c>
      <c r="G9" s="1">
        <v>0.69830000000000003</v>
      </c>
    </row>
    <row r="10" spans="1:7" s="1" customFormat="1">
      <c r="A10" s="1" t="s">
        <v>10</v>
      </c>
      <c r="B10" s="1">
        <v>65.349999999999994</v>
      </c>
      <c r="C10" s="1">
        <v>66.83</v>
      </c>
      <c r="D10" s="1">
        <v>63.86</v>
      </c>
      <c r="E10" s="1">
        <v>0.30709999999999998</v>
      </c>
      <c r="F10" s="1">
        <v>0.70009999999999994</v>
      </c>
      <c r="G10" s="1">
        <v>0.67679999999999996</v>
      </c>
    </row>
    <row r="11" spans="1:7" s="1" customFormat="1">
      <c r="A11" s="1" t="s">
        <v>10</v>
      </c>
      <c r="B11" s="1">
        <v>66.09</v>
      </c>
      <c r="C11" s="1">
        <v>67.489999999999995</v>
      </c>
      <c r="D11" s="1">
        <v>64.69</v>
      </c>
      <c r="E11" s="1">
        <v>0.32190000000000002</v>
      </c>
      <c r="F11" s="1">
        <v>0.70940000000000003</v>
      </c>
      <c r="G11" s="1">
        <v>0.68810000000000004</v>
      </c>
    </row>
    <row r="12" spans="1:7" s="1" customFormat="1">
      <c r="A12" s="1" t="s">
        <v>7</v>
      </c>
      <c r="B12" s="1">
        <f>AVERAGE(B2:B11)</f>
        <v>65.355000000000004</v>
      </c>
      <c r="C12" s="1">
        <f t="shared" ref="C12:G12" si="0">AVERAGE(C2:C11)</f>
        <v>67.03</v>
      </c>
      <c r="D12" s="1">
        <f t="shared" si="0"/>
        <v>63.682000000000002</v>
      </c>
      <c r="E12" s="1">
        <f t="shared" si="0"/>
        <v>0.30730000000000002</v>
      </c>
      <c r="F12" s="1">
        <f t="shared" si="0"/>
        <v>0.70625000000000004</v>
      </c>
      <c r="G12" s="1">
        <f t="shared" si="0"/>
        <v>0.68503999999999998</v>
      </c>
    </row>
    <row r="13" spans="1:7" s="1" customFormat="1">
      <c r="A13" s="1" t="s">
        <v>8</v>
      </c>
      <c r="B13" s="1">
        <f>STDEV(B2:B11)</f>
        <v>0.824314530045689</v>
      </c>
      <c r="C13" s="1">
        <f t="shared" ref="C13:G13" si="1">STDEV(C2:C11)</f>
        <v>1.2161688479264099</v>
      </c>
      <c r="D13" s="1">
        <f t="shared" si="1"/>
        <v>1.1531001691093401</v>
      </c>
      <c r="E13" s="1">
        <f t="shared" si="1"/>
        <v>1.6507372090473201E-2</v>
      </c>
      <c r="F13" s="1">
        <f t="shared" si="1"/>
        <v>8.9420666266560398E-3</v>
      </c>
      <c r="G13" s="1">
        <f t="shared" si="1"/>
        <v>9.6792102524488593E-3</v>
      </c>
    </row>
    <row r="14" spans="1:7" s="1" customFormat="1">
      <c r="A14" s="1" t="s">
        <v>9</v>
      </c>
      <c r="B14" s="1" t="str">
        <f>ROUND(B12,2)&amp;"±"&amp;ROUND(B13,2)</f>
        <v>65.36±0.82</v>
      </c>
      <c r="C14" s="1" t="str">
        <f t="shared" ref="C14:D14" si="2">ROUND(C12,2)&amp;"±"&amp;ROUND(C13,2)</f>
        <v>67.03±1.22</v>
      </c>
      <c r="D14" s="1" t="str">
        <f t="shared" si="2"/>
        <v>63.68±1.15</v>
      </c>
      <c r="E14" s="1" t="str">
        <f>ROUND(E12,4)&amp;"±"&amp;ROUND(E13,4)</f>
        <v>0.3073±0.0165</v>
      </c>
      <c r="F14" s="1" t="str">
        <f t="shared" ref="F14:G14" si="3">ROUND(F12,4)&amp;"±"&amp;ROUND(F13,4)</f>
        <v>0.7063±0.0089</v>
      </c>
      <c r="G14" s="1" t="str">
        <f t="shared" si="3"/>
        <v>0.685±0.0097</v>
      </c>
    </row>
    <row r="15" spans="1:7" s="1" customFormat="1"/>
    <row r="16" spans="1:7" s="1" customFormat="1"/>
    <row r="17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people</dc:creator>
  <cp:lastModifiedBy>天 陈</cp:lastModifiedBy>
  <dcterms:created xsi:type="dcterms:W3CDTF">2015-06-05T18:19:00Z</dcterms:created>
  <dcterms:modified xsi:type="dcterms:W3CDTF">2024-05-02T10:09:58Z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FE08F43EE1364DAF807F7C4290F3254D_12</vt:lpwstr>
  </property>
  <property fmtid="{D5CDD505-2E9C-101B-9397-08002B2CF9AE}" pid="3" name="KSOProductBuildVer">
    <vt:lpwstr>2052-12.1.0.16729</vt:lpwstr>
  </property>
</Properties>
</file>