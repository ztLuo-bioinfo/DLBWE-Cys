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1\"/>
    </mc:Choice>
  </mc:AlternateContent>
  <xr:revisionPtr revIDLastSave="0" documentId="13_ncr:1_{B0A4ECC2-5520-4062-8F80-8A4B0D1A6074}" xr6:coauthVersionLast="47" xr6:coauthVersionMax="47" xr10:uidLastSave="{00000000-0000-0000-0000-000000000000}"/>
  <bookViews>
    <workbookView xWindow="10608" yWindow="468" windowWidth="9540" windowHeight="1018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<sst xmlns="http://schemas.openxmlformats.org/spreadsheetml/2006/main" count="20" uniqueCount="11">
  <si>
    <t>model_name</t>
  </si>
  <si>
    <t>Acc(%)</t>
  </si>
  <si>
    <t>Sn(%)</t>
  </si>
  <si>
    <t>Sp(%)</t>
  </si>
  <si>
    <t>MCC</t>
  </si>
  <si>
    <t>AUROC</t>
  </si>
  <si>
    <t>AUPR</t>
  </si>
  <si>
    <t>BiLSTM AVE</t>
  </si>
  <si>
    <t>BiLSTM SD</t>
  </si>
  <si>
    <t>BiLSTM AVE±SD</t>
  </si>
  <si>
    <t>BiLSTM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</si>
</sst>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11"/>
      <name val="宋体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B18" sqref="B18"/>
    </sheetView>
  </sheetViews>
  <sheetFormatPr defaultColWidth="9" defaultRowHeight="13.8"/>
  <cols>
    <col min="1" max="1" width="17.77734375" customWidth="1"/>
    <col min="2" max="2" width="14" customWidth="1"/>
    <col min="3" max="3" width="13.33203125" customWidth="1"/>
    <col min="4" max="4" width="14.21875" customWidth="1"/>
    <col min="5" max="5" width="13.77734375" customWidth="1"/>
    <col min="6" max="6" width="14.109375" customWidth="1"/>
    <col min="7" max="7" width="16.5546875" customWidth="1"/>
  </cols>
  <sheetData>
    <row r="1" spans="1:7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>
      <c r="A2" s="1" t="s">
        <v>10</v>
      </c>
      <c r="B2" s="1">
        <v>74.83</v>
      </c>
      <c r="C2" s="1">
        <v>73.930000000000007</v>
      </c>
      <c r="D2" s="1">
        <v>75.739999999999995</v>
      </c>
      <c r="E2" s="1">
        <v>0.49680000000000002</v>
      </c>
      <c r="F2" s="1">
        <v>0.79520000000000002</v>
      </c>
      <c r="G2" s="1">
        <v>0.76470000000000005</v>
      </c>
    </row>
    <row r="3" spans="1:7" s="1" customFormat="1">
      <c r="A3" s="1" t="s">
        <v>10</v>
      </c>
      <c r="B3" s="1">
        <v>75.08</v>
      </c>
      <c r="C3" s="1">
        <v>69.47</v>
      </c>
      <c r="D3" s="1">
        <v>80.69</v>
      </c>
      <c r="E3" s="1">
        <v>0.50480000000000003</v>
      </c>
      <c r="F3" s="1">
        <v>0.78990000000000005</v>
      </c>
      <c r="G3" s="1">
        <v>0.79359999999999997</v>
      </c>
    </row>
    <row r="4" spans="1:7" s="1" customFormat="1">
      <c r="A4" s="1" t="s">
        <v>10</v>
      </c>
      <c r="B4" s="1">
        <v>74.5</v>
      </c>
      <c r="C4" s="1">
        <v>72.28</v>
      </c>
      <c r="D4" s="1">
        <v>76.73</v>
      </c>
      <c r="E4" s="1">
        <v>0.49059999999999998</v>
      </c>
      <c r="F4" s="1">
        <v>0.7833</v>
      </c>
      <c r="G4" s="1">
        <v>0.78200000000000003</v>
      </c>
    </row>
    <row r="5" spans="1:7" s="1" customFormat="1">
      <c r="A5" s="1" t="s">
        <v>10</v>
      </c>
      <c r="B5" s="1">
        <v>74.67</v>
      </c>
      <c r="C5" s="1">
        <v>73.27</v>
      </c>
      <c r="D5" s="1">
        <v>76.069999999999993</v>
      </c>
      <c r="E5" s="1">
        <v>0.49359999999999998</v>
      </c>
      <c r="F5" s="1">
        <v>0.7782</v>
      </c>
      <c r="G5" s="1">
        <v>0.78539999999999999</v>
      </c>
    </row>
    <row r="6" spans="1:7" s="1" customFormat="1">
      <c r="A6" s="1" t="s">
        <v>10</v>
      </c>
      <c r="B6" s="1">
        <v>74.09</v>
      </c>
      <c r="C6" s="1">
        <v>72.94</v>
      </c>
      <c r="D6" s="1">
        <v>75.25</v>
      </c>
      <c r="E6" s="1">
        <v>0.48199999999999998</v>
      </c>
      <c r="F6" s="1">
        <v>0.78159999999999996</v>
      </c>
      <c r="G6" s="1">
        <v>0.77569999999999995</v>
      </c>
    </row>
    <row r="7" spans="1:7" s="1" customFormat="1">
      <c r="A7" s="1" t="s">
        <v>10</v>
      </c>
      <c r="B7" s="1">
        <v>74.59</v>
      </c>
      <c r="C7" s="1">
        <v>71.78</v>
      </c>
      <c r="D7" s="1">
        <v>77.39</v>
      </c>
      <c r="E7" s="1">
        <v>0.49249999999999999</v>
      </c>
      <c r="F7" s="1">
        <v>0.79769999999999996</v>
      </c>
      <c r="G7" s="1">
        <v>0.80449999999999999</v>
      </c>
    </row>
    <row r="8" spans="1:7" s="1" customFormat="1">
      <c r="A8" s="1" t="s">
        <v>10</v>
      </c>
      <c r="B8" s="1">
        <v>73.930000000000007</v>
      </c>
      <c r="C8" s="1">
        <v>70.959999999999994</v>
      </c>
      <c r="D8" s="1">
        <v>76.900000000000006</v>
      </c>
      <c r="E8" s="1">
        <v>0.47939999999999999</v>
      </c>
      <c r="F8" s="1">
        <v>0.79600000000000004</v>
      </c>
      <c r="G8" s="1">
        <v>0.80640000000000001</v>
      </c>
    </row>
    <row r="9" spans="1:7" s="1" customFormat="1">
      <c r="A9" s="1" t="s">
        <v>10</v>
      </c>
      <c r="B9" s="1">
        <v>74.83</v>
      </c>
      <c r="C9" s="1">
        <v>67.819999999999993</v>
      </c>
      <c r="D9" s="1">
        <v>81.849999999999994</v>
      </c>
      <c r="E9" s="1">
        <v>0.50170000000000003</v>
      </c>
      <c r="F9" s="1">
        <v>0.79020000000000001</v>
      </c>
      <c r="G9" s="1">
        <v>0.7792</v>
      </c>
    </row>
    <row r="10" spans="1:7" s="1" customFormat="1">
      <c r="A10" s="1" t="s">
        <v>10</v>
      </c>
      <c r="B10" s="1">
        <v>75.41</v>
      </c>
      <c r="C10" s="1">
        <v>70.959999999999994</v>
      </c>
      <c r="D10" s="1">
        <v>79.87</v>
      </c>
      <c r="E10" s="1">
        <v>0.51029999999999998</v>
      </c>
      <c r="F10" s="1">
        <v>0.79510000000000003</v>
      </c>
      <c r="G10" s="1">
        <v>0.79810000000000003</v>
      </c>
    </row>
    <row r="11" spans="1:7" s="1" customFormat="1">
      <c r="A11" s="1" t="s">
        <v>10</v>
      </c>
      <c r="B11" s="1">
        <v>74.17</v>
      </c>
      <c r="C11" s="1">
        <v>72.94</v>
      </c>
      <c r="D11" s="1">
        <v>75.41</v>
      </c>
      <c r="E11" s="1">
        <v>0.48359999999999997</v>
      </c>
      <c r="F11" s="1">
        <v>0.79749999999999999</v>
      </c>
      <c r="G11" s="1">
        <v>0.79749999999999999</v>
      </c>
    </row>
    <row r="12" spans="1:7" s="1" customFormat="1">
      <c r="A12" s="1" t="s">
        <v>7</v>
      </c>
      <c r="B12" s="1">
        <f>AVERAGE(B2:B11)</f>
        <v>74.61</v>
      </c>
      <c r="C12" s="1">
        <f t="shared" ref="C12:G12" si="0">AVERAGE(C2:C11)</f>
        <v>71.635000000000005</v>
      </c>
      <c r="D12" s="1">
        <f t="shared" si="0"/>
        <v>77.59</v>
      </c>
      <c r="E12" s="1">
        <f t="shared" si="0"/>
        <v>0.49353000000000002</v>
      </c>
      <c r="F12" s="1">
        <f t="shared" si="0"/>
        <v>0.79047000000000001</v>
      </c>
      <c r="G12" s="1">
        <f t="shared" si="0"/>
        <v>0.78871000000000002</v>
      </c>
    </row>
    <row r="13" spans="1:7" s="1" customFormat="1">
      <c r="A13" s="1" t="s">
        <v>8</v>
      </c>
      <c r="B13" s="1">
        <f>STDEV(B2:B11)</f>
        <v>0.45949247364165902</v>
      </c>
      <c r="C13" s="1">
        <f t="shared" ref="C13:G13" si="1">STDEV(C2:C11)</f>
        <v>1.8837329959418401</v>
      </c>
      <c r="D13" s="1">
        <f t="shared" si="1"/>
        <v>2.3610873201415798</v>
      </c>
      <c r="E13" s="1">
        <f t="shared" si="1"/>
        <v>1.01463786643314E-2</v>
      </c>
      <c r="F13" s="1">
        <f t="shared" si="1"/>
        <v>7.1267960699196598E-3</v>
      </c>
      <c r="G13" s="1">
        <f t="shared" si="1"/>
        <v>1.35144737226427E-2</v>
      </c>
    </row>
    <row r="14" spans="1:7" s="1" customFormat="1">
      <c r="A14" s="1" t="s">
        <v>9</v>
      </c>
      <c r="B14" s="1" t="str">
        <f>ROUND(B12,2)&amp;"±"&amp;ROUND(B13,2)</f>
        <v>74.61±0.46</v>
      </c>
      <c r="C14" s="1" t="str">
        <f t="shared" ref="C14:D14" si="2">ROUND(C12,2)&amp;"±"&amp;ROUND(C13,2)</f>
        <v>71.64±1.88</v>
      </c>
      <c r="D14" s="1" t="str">
        <f t="shared" si="2"/>
        <v>77.59±2.36</v>
      </c>
      <c r="E14" s="1" t="str">
        <f>ROUND(E12,4)&amp;"±"&amp;ROUND(E13,4)</f>
        <v>0.4935±0.0101</v>
      </c>
      <c r="F14" s="1" t="str">
        <f t="shared" ref="F14:G14" si="3">ROUND(F12,4)&amp;"±"&amp;ROUND(F13,4)</f>
        <v>0.7905±0.0071</v>
      </c>
      <c r="G14" s="1" t="str">
        <f t="shared" si="3"/>
        <v>0.7887±0.0135</v>
      </c>
    </row>
    <row r="15" spans="1:7" s="1" customFormat="1"/>
    <row r="16" spans="1:7" s="1" customFormat="1"/>
    <row r="22" customFormat="1"/>
    <row r="23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people</dc:creator>
  <cp:lastModifiedBy>天 陈</cp:lastModifiedBy>
  <dcterms:created xsi:type="dcterms:W3CDTF">2015-06-05T18:19:00Z</dcterms:created>
  <dcterms:modified xsi:type="dcterms:W3CDTF">2024-05-02T10:12:38Z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E0577574A1A745398DB0A01260B4782B_12</vt:lpwstr>
  </property>
  <property fmtid="{D5CDD505-2E9C-101B-9397-08002B2CF9AE}" pid="3" name="KSOProductBuildVer">
    <vt:lpwstr>2052-12.1.0.16729</vt:lpwstr>
  </property>
</Properties>
</file>